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Collection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<sst xmlns="http://schemas.openxmlformats.org/spreadsheetml/2006/main" count="236" uniqueCount="56">
  <si>
    <t>Age Group</t>
  </si>
  <si>
    <t>Profession</t>
  </si>
  <si>
    <t>Dietary Preference</t>
  </si>
  <si>
    <t>Eating Out Frequency</t>
  </si>
  <si>
    <t>Type of Food</t>
  </si>
  <si>
    <t>Preferred Food Source</t>
  </si>
  <si>
    <t>Health Concern</t>
  </si>
  <si>
    <t>Health Issue</t>
  </si>
  <si>
    <t>Monthly Spending</t>
  </si>
  <si>
    <t>Food Preference</t>
  </si>
  <si>
    <t xml:space="preserve"> </t>
  </si>
  <si>
    <t>18–25</t>
  </si>
  <si>
    <t>Student</t>
  </si>
  <si>
    <t>Non-Vegetarian</t>
  </si>
  <si>
    <t>Sometimes (2–3 times)</t>
  </si>
  <si>
    <t>Fast food</t>
  </si>
  <si>
    <t>Food delivery apps</t>
  </si>
  <si>
    <t>Yes</t>
  </si>
  <si>
    <t>Digestion issues</t>
  </si>
  <si>
    <t>Outside food</t>
  </si>
  <si>
    <t>26–35</t>
  </si>
  <si>
    <t>IT / Corporate</t>
  </si>
  <si>
    <t>Vegetarian</t>
  </si>
  <si>
    <t>Frequently (4–5 times)</t>
  </si>
  <si>
    <t>Restaurant meals</t>
  </si>
  <si>
    <t>Restaurants</t>
  </si>
  <si>
    <t>Sometimes</t>
  </si>
  <si>
    <t>No issues</t>
  </si>
  <si>
    <t>Both equally</t>
  </si>
  <si>
    <t>36–45</t>
  </si>
  <si>
    <t>Business</t>
  </si>
  <si>
    <t>Eggetarian</t>
  </si>
  <si>
    <t>Rarely (0–1 time)</t>
  </si>
  <si>
    <t>Healthy options</t>
  </si>
  <si>
    <t>Cafes</t>
  </si>
  <si>
    <t>No</t>
  </si>
  <si>
    <t>Homemade food</t>
  </si>
  <si>
    <t>Vegan</t>
  </si>
  <si>
    <t>Very Frequently (6+ times)</t>
  </si>
  <si>
    <t>Street vendors</t>
  </si>
  <si>
    <t>Weight gain</t>
  </si>
  <si>
    <t>46+</t>
  </si>
  <si>
    <t>Homemaker</t>
  </si>
  <si>
    <t>Low energy</t>
  </si>
  <si>
    <t>Street food</t>
  </si>
  <si>
    <t>Total People Concerned About Health</t>
  </si>
  <si>
    <t>Average Monthly Spending</t>
  </si>
  <si>
    <t>MostCommonEatingFrequencies</t>
  </si>
  <si>
    <t>Count of People Preferring Homemade Food</t>
  </si>
  <si>
    <t>Refer PivotTable1</t>
  </si>
  <si>
    <t>COUNTA of Eating Out Frequency</t>
  </si>
  <si>
    <t>Grand Total</t>
  </si>
  <si>
    <t>\</t>
  </si>
  <si>
    <t>COUNTA of Preferred Food Source</t>
  </si>
  <si>
    <t>COUNTA of Health Concern</t>
  </si>
  <si>
    <t>SUM of Monthly Spending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</si>
</sst>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1'!$B$3:$B$7</c:f>
              <c:numCache/>
            </c:numRef>
          </c:val>
        </c:ser>
        <c:ser>
          <c:idx val="1"/>
          <c:order val="1"/>
          <c:tx>
            <c:strRef>
              <c:f>'Pivot Table 1'!$B$1:$B$2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Table 1'!$B$3:$B$7</c:f>
              <c:numCache/>
            </c:numRef>
          </c:val>
        </c:ser>
        <c:ser>
          <c:idx val="2"/>
          <c:order val="2"/>
          <c:tx>
            <c:strRef>
              <c:f>'Pivot Table 1'!$C$1:$C$2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Table 1'!$C$3:$C$7</c:f>
              <c:numCache/>
            </c:numRef>
          </c:val>
        </c:ser>
        <c:ser>
          <c:idx val="3"/>
          <c:order val="3"/>
          <c:tx>
            <c:strRef>
              <c:f>'Pivot Table 1'!$D$1:$D$2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Table 1'!$D$3:$D$7</c:f>
              <c:numCache/>
            </c:numRef>
          </c:val>
        </c:ser>
        <c:ser>
          <c:idx val="4"/>
          <c:order val="4"/>
          <c:tx>
            <c:strRef>
              <c:f>'Pivot Table 1'!$E$1:$E$2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'Pivot Table 1'!$E$3:$E$7</c:f>
              <c:numCache/>
            </c:numRef>
          </c:val>
        </c:ser>
        <c:ser>
          <c:idx val="5"/>
          <c:order val="5"/>
          <c:tx>
            <c:strRef>
              <c:f>'Pivot Table 1'!$F$1:$F$2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'Pivot Table 1'!$F$3:$F$7</c:f>
              <c:numCache/>
            </c:numRef>
          </c:val>
        </c:ser>
        <c:axId val="1233352262"/>
        <c:axId val="1957679496"/>
      </c:barChart>
      <c:catAx>
        <c:axId val="12333522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679496"/>
      </c:catAx>
      <c:valAx>
        <c:axId val="19576794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3522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Preferred Food Source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1'!$A$11:$A$15</c:f>
            </c:strRef>
          </c:cat>
          <c:val>
            <c:numRef>
              <c:f>'Pivot Table 1'!$B$11:$B$15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1'!$B$17:$B$18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1'!$A$19:$A$22</c:f>
            </c:strRef>
          </c:cat>
          <c:val>
            <c:numRef>
              <c:f>'Pivot Table 1'!$B$19:$B$22</c:f>
              <c:numCache/>
            </c:numRef>
          </c:val>
        </c:ser>
        <c:ser>
          <c:idx val="1"/>
          <c:order val="1"/>
          <c:tx>
            <c:strRef>
              <c:f>'Pivot Table 1'!$C$17:$C$18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1'!$A$19:$A$22</c:f>
            </c:strRef>
          </c:cat>
          <c:val>
            <c:numRef>
              <c:f>'Pivot Table 1'!$C$19:$C$22</c:f>
              <c:numCache/>
            </c:numRef>
          </c:val>
        </c:ser>
        <c:ser>
          <c:idx val="2"/>
          <c:order val="2"/>
          <c:tx>
            <c:strRef>
              <c:f>'Pivot Table 1'!$D$17:$D$18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1'!$A$19:$A$22</c:f>
            </c:strRef>
          </c:cat>
          <c:val>
            <c:numRef>
              <c:f>'Pivot Table 1'!$D$19:$D$22</c:f>
              <c:numCache/>
            </c:numRef>
          </c:val>
        </c:ser>
        <c:ser>
          <c:idx val="3"/>
          <c:order val="3"/>
          <c:tx>
            <c:strRef>
              <c:f>'Pivot Table 1'!$E$17:$E$18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1'!$A$19:$A$22</c:f>
            </c:strRef>
          </c:cat>
          <c:val>
            <c:numRef>
              <c:f>'Pivot Table 1'!$E$19:$E$22</c:f>
              <c:numCache/>
            </c:numRef>
          </c:val>
        </c:ser>
        <c:ser>
          <c:idx val="4"/>
          <c:order val="4"/>
          <c:tx>
            <c:strRef>
              <c:f>'Pivot Table 1'!$F$17:$F$18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1'!$A$19:$A$22</c:f>
            </c:strRef>
          </c:cat>
          <c:val>
            <c:numRef>
              <c:f>'Pivot Table 1'!$F$19:$F$22</c:f>
              <c:numCache/>
            </c:numRef>
          </c:val>
        </c:ser>
        <c:axId val="902609647"/>
        <c:axId val="1904070722"/>
      </c:barChart>
      <c:catAx>
        <c:axId val="90260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070722"/>
      </c:catAx>
      <c:valAx>
        <c:axId val="1904070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609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Monthly Spending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1'!$A$25:$A$29</c:f>
            </c:strRef>
          </c:cat>
          <c:val>
            <c:numRef>
              <c:f>'Pivot Table 1'!$B$25:$B$29</c:f>
              <c:numCache/>
            </c:numRef>
          </c:val>
          <c:smooth val="0"/>
        </c:ser>
        <c:axId val="1076391928"/>
        <c:axId val="1812531302"/>
      </c:lineChart>
      <c:catAx>
        <c:axId val="1076391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31302"/>
      </c:catAx>
      <c:valAx>
        <c:axId val="1812531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Monthly Spending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91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0</xdr:rowOff>
    </xdr:from>
    <xdr:ext cx="3495675" cy="1438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8</xdr:row>
      <xdr:rowOff>161925</xdr:rowOff>
    </xdr:from>
    <xdr:ext cx="3390900" cy="1266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15</xdr:row>
      <xdr:rowOff>142875</xdr:rowOff>
    </xdr:from>
    <xdr:ext cx="2838450" cy="1266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9525</xdr:colOff>
      <xdr:row>22</xdr:row>
      <xdr:rowOff>180975</xdr:rowOff>
    </xdr:from>
    <xdr:ext cx="5715000" cy="1266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1" sheet="DataCollection"/>
  </cacheSource>
  <cacheFields>
    <cacheField name="Age Group" numFmtId="0">
      <sharedItems>
        <s v="18–25"/>
        <s v="26–35"/>
        <s v="36–45"/>
        <s v="46+"/>
      </sharedItems>
    </cacheField>
    <cacheField name="Profession" numFmtId="0">
      <sharedItems>
        <s v="Student"/>
        <s v="IT / Corporate"/>
        <s v="Business"/>
        <s v="Homemaker"/>
      </sharedItems>
    </cacheField>
    <cacheField name="Dietary Preference" numFmtId="0">
      <sharedItems>
        <s v="Non-Vegetarian"/>
        <s v="Vegetarian"/>
        <s v="Eggetarian"/>
        <s v="Vegan"/>
      </sharedItems>
    </cacheField>
    <cacheField name="Eating Out Frequency" numFmtId="0">
      <sharedItems>
        <s v="Sometimes (2–3 times)"/>
        <s v="Frequently (4–5 times)"/>
        <s v="Rarely (0–1 time)"/>
        <s v="Very Frequently (6+ times)"/>
      </sharedItems>
    </cacheField>
    <cacheField name="Type of Food" numFmtId="0">
      <sharedItems>
        <s v="Fast food"/>
        <s v="Restaurant meals"/>
        <s v="Healthy options"/>
        <s v="Street food"/>
      </sharedItems>
    </cacheField>
    <cacheField name="Preferred Food Source" numFmtId="0">
      <sharedItems>
        <s v="Food delivery apps"/>
        <s v="Restaurants"/>
        <s v="Cafes"/>
        <s v="Street vendors"/>
      </sharedItems>
    </cacheField>
    <cacheField name="Health Concern" numFmtId="0">
      <sharedItems>
        <s v="Yes"/>
        <s v="Sometimes"/>
        <s v="No"/>
      </sharedItems>
    </cacheField>
    <cacheField name="Health Issue" numFmtId="0">
      <sharedItems>
        <s v="Digestion issues"/>
        <s v="No issues"/>
        <s v="Weight gain"/>
        <s v="Low energy"/>
      </sharedItems>
    </cacheField>
    <cacheField name="Monthly Spending" numFmtId="0">
      <sharedItems containsSemiMixedTypes="0" containsString="0" containsNumber="1" containsInteger="1">
        <n v="2000.0"/>
        <n v="3000.0"/>
        <n v="1000.0"/>
        <n v="4000.0"/>
        <n v="1500.0"/>
        <n v="2500.0"/>
        <n v="1200.0"/>
        <n v="2800.0"/>
        <n v="4500.0"/>
        <n v="3500.0"/>
        <n v="2200.0"/>
        <n v="3200.0"/>
      </sharedItems>
    </cacheField>
    <cacheField name="Food Preference" numFmtId="0">
      <sharedItems>
        <s v="Outside food"/>
        <s v="Both equally"/>
        <s v="Homemade food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7" firstHeaderRow="0" firstDataRow="1" firstDataCol="1"/>
  <pivotFields>
    <pivotField name="Age Group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fession" compact="0" outline="0" multipleItemSelectionAllowed="1" showAll="0">
      <items>
        <item x="0"/>
        <item x="1"/>
        <item x="2"/>
        <item x="3"/>
        <item t="default"/>
      </items>
    </pivotField>
    <pivotField name="Dietary Preference" compact="0" outline="0" multipleItemSelectionAllowed="1" showAll="0">
      <items>
        <item x="0"/>
        <item x="1"/>
        <item x="2"/>
        <item x="3"/>
        <item t="default"/>
      </items>
    </pivotField>
    <pivotField name="Eating Out Frequency" axis="axisCol" dataField="1" compact="0" outline="0" multipleItemSelectionAllowed="1" showAll="0" sortType="ascending">
      <items>
        <item x="1"/>
        <item x="2"/>
        <item x="0"/>
        <item x="3"/>
        <item t="default"/>
      </items>
    </pivotField>
    <pivotField name="Type of Food" compact="0" outline="0" multipleItemSelectionAllowed="1" showAll="0">
      <items>
        <item x="0"/>
        <item x="1"/>
        <item x="2"/>
        <item x="3"/>
        <item t="default"/>
      </items>
    </pivotField>
    <pivotField name="Preferred Food Source" compact="0" outline="0" multipleItemSelectionAllowed="1" showAll="0">
      <items>
        <item x="0"/>
        <item x="1"/>
        <item x="2"/>
        <item x="3"/>
        <item t="default"/>
      </items>
    </pivotField>
    <pivotField name="Health Concern" compact="0" outline="0" multipleItemSelectionAllowed="1" showAll="0">
      <items>
        <item x="0"/>
        <item x="1"/>
        <item x="2"/>
        <item t="default"/>
      </items>
    </pivotField>
    <pivotField name="Health Issue" compact="0" outline="0" multipleItemSelectionAllowed="1" showAll="0">
      <items>
        <item x="0"/>
        <item x="1"/>
        <item x="2"/>
        <item x="3"/>
        <item t="default"/>
      </items>
    </pivotField>
    <pivotField name="Monthly Spe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ood Preferenc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colFields>
    <field x="3"/>
  </colFields>
  <dataFields>
    <dataField name="COUNTA of Eating Out Frequency" fld="3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0:B15" firstHeaderRow="0" firstDataRow="1" firstDataCol="0"/>
  <pivotFields>
    <pivotField name="Age Group" compact="0" outline="0" multipleItemSelectionAllowed="1" showAll="0">
      <items>
        <item x="0"/>
        <item x="1"/>
        <item x="2"/>
        <item x="3"/>
        <item t="default"/>
      </items>
    </pivotField>
    <pivotField name="Profession" compact="0" outline="0" multipleItemSelectionAllowed="1" showAll="0">
      <items>
        <item x="0"/>
        <item x="1"/>
        <item x="2"/>
        <item x="3"/>
        <item t="default"/>
      </items>
    </pivotField>
    <pivotField name="Dietary Preference" compact="0" outline="0" multipleItemSelectionAllowed="1" showAll="0">
      <items>
        <item x="0"/>
        <item x="1"/>
        <item x="2"/>
        <item x="3"/>
        <item t="default"/>
      </items>
    </pivotField>
    <pivotField name="Eating Out Frequency" compact="0" outline="0" multipleItemSelectionAllowed="1" showAll="0">
      <items>
        <item x="0"/>
        <item x="1"/>
        <item x="2"/>
        <item x="3"/>
        <item t="default"/>
      </items>
    </pivotField>
    <pivotField name="Type of Food" compact="0" outline="0" multipleItemSelectionAllowed="1" showAll="0">
      <items>
        <item x="0"/>
        <item x="1"/>
        <item x="2"/>
        <item x="3"/>
        <item t="default"/>
      </items>
    </pivotField>
    <pivotField name="Preferred Food Source" axis="axisRow" dataField="1" compact="0" outline="0" multipleItemSelectionAllowed="1" showAll="0" sortType="ascending">
      <items>
        <item x="2"/>
        <item x="0"/>
        <item x="1"/>
        <item x="3"/>
        <item t="default"/>
      </items>
    </pivotField>
    <pivotField name="Health Concern" compact="0" outline="0" multipleItemSelectionAllowed="1" showAll="0">
      <items>
        <item x="0"/>
        <item x="1"/>
        <item x="2"/>
        <item t="default"/>
      </items>
    </pivotField>
    <pivotField name="Health Issue" compact="0" outline="0" multipleItemSelectionAllowed="1" showAll="0">
      <items>
        <item x="0"/>
        <item x="1"/>
        <item x="2"/>
        <item x="3"/>
        <item t="default"/>
      </items>
    </pivotField>
    <pivotField name="Monthly Spe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ood Preferenc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Preferred Food Source" fld="5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17:F22" firstHeaderRow="0" firstDataRow="1" firstDataCol="1"/>
  <pivotFields>
    <pivotField name="Age Group" compact="0" outline="0" multipleItemSelectionAllowed="1" showAll="0">
      <items>
        <item x="0"/>
        <item x="1"/>
        <item x="2"/>
        <item x="3"/>
        <item t="default"/>
      </items>
    </pivotField>
    <pivotField name="Profession" compact="0" outline="0" multipleItemSelectionAllowed="1" showAll="0">
      <items>
        <item x="0"/>
        <item x="1"/>
        <item x="2"/>
        <item x="3"/>
        <item t="default"/>
      </items>
    </pivotField>
    <pivotField name="Dietary Preference" compact="0" outline="0" multipleItemSelectionAllowed="1" showAll="0">
      <items>
        <item x="0"/>
        <item x="1"/>
        <item x="2"/>
        <item x="3"/>
        <item t="default"/>
      </items>
    </pivotField>
    <pivotField name="Eating Out Frequency" axis="axisCol" compact="0" outline="0" multipleItemSelectionAllowed="1" showAll="0" sortType="ascending">
      <items>
        <item x="1"/>
        <item x="2"/>
        <item x="0"/>
        <item x="3"/>
        <item t="default"/>
      </items>
    </pivotField>
    <pivotField name="Type of Food" compact="0" outline="0" multipleItemSelectionAllowed="1" showAll="0">
      <items>
        <item x="0"/>
        <item x="1"/>
        <item x="2"/>
        <item x="3"/>
        <item t="default"/>
      </items>
    </pivotField>
    <pivotField name="Preferred Food Source" compact="0" outline="0" multipleItemSelectionAllowed="1" showAll="0">
      <items>
        <item x="0"/>
        <item x="1"/>
        <item x="2"/>
        <item x="3"/>
        <item t="default"/>
      </items>
    </pivotField>
    <pivotField name="Health Concern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Health Issue" compact="0" outline="0" multipleItemSelectionAllowed="1" showAll="0">
      <items>
        <item x="0"/>
        <item x="1"/>
        <item x="2"/>
        <item x="3"/>
        <item t="default"/>
      </items>
    </pivotField>
    <pivotField name="Monthly Spe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ood Preferenc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6"/>
  </rowFields>
  <colFields>
    <field x="3"/>
  </colFields>
  <dataFields>
    <dataField name="COUNTA of Health Concern" fld="6" subtotal="count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24:B29" firstHeaderRow="0" firstDataRow="1" firstDataCol="0"/>
  <pivotFields>
    <pivotField name="Age Group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fession" compact="0" outline="0" multipleItemSelectionAllowed="1" showAll="0">
      <items>
        <item x="0"/>
        <item x="1"/>
        <item x="2"/>
        <item x="3"/>
        <item t="default"/>
      </items>
    </pivotField>
    <pivotField name="Dietary Preference" compact="0" outline="0" multipleItemSelectionAllowed="1" showAll="0">
      <items>
        <item x="0"/>
        <item x="1"/>
        <item x="2"/>
        <item x="3"/>
        <item t="default"/>
      </items>
    </pivotField>
    <pivotField name="Eating Out Frequency" compact="0" outline="0" multipleItemSelectionAllowed="1" showAll="0">
      <items>
        <item x="0"/>
        <item x="1"/>
        <item x="2"/>
        <item x="3"/>
        <item t="default"/>
      </items>
    </pivotField>
    <pivotField name="Type of Food" compact="0" outline="0" multipleItemSelectionAllowed="1" showAll="0">
      <items>
        <item x="0"/>
        <item x="1"/>
        <item x="2"/>
        <item x="3"/>
        <item t="default"/>
      </items>
    </pivotField>
    <pivotField name="Preferred Food Source" compact="0" outline="0" multipleItemSelectionAllowed="1" showAll="0">
      <items>
        <item x="0"/>
        <item x="1"/>
        <item x="2"/>
        <item x="3"/>
        <item t="default"/>
      </items>
    </pivotField>
    <pivotField name="Health Concern" compact="0" outline="0" multipleItemSelectionAllowed="1" showAll="0">
      <items>
        <item x="0"/>
        <item x="1"/>
        <item x="2"/>
        <item t="default"/>
      </items>
    </pivotField>
    <pivotField name="Health Issue" compact="0" outline="0" multipleItemSelectionAllowed="1" showAll="0">
      <items>
        <item x="0"/>
        <item x="1"/>
        <item x="2"/>
        <item x="3"/>
        <item t="default"/>
      </items>
    </pivotField>
    <pivotField name="Monthly Spend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ood Preferenc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dataFields>
    <dataField name="SUM of Monthly Spending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25.38"/>
    <col customWidth="1" min="5" max="5" width="18.63"/>
    <col customWidth="1" min="6" max="6" width="20.25"/>
    <col customWidth="1" min="8" max="8" width="21.0"/>
    <col customWidth="1" min="9" max="9" width="16.5"/>
    <col customWidth="1" min="10" max="10" width="27.0"/>
    <col customWidth="1" min="11" max="11" width="29.0"/>
    <col customWidth="1" min="12" max="12" width="23.88"/>
    <col customWidth="1" min="13" max="13" width="29.75"/>
    <col customWidth="1" min="14" max="14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2000.0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3000.0</v>
      </c>
      <c r="J3" s="3" t="s">
        <v>28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27</v>
      </c>
      <c r="I4" s="3">
        <v>1000.0</v>
      </c>
      <c r="J4" s="3" t="s">
        <v>36</v>
      </c>
    </row>
    <row r="5">
      <c r="A5" s="3" t="s">
        <v>11</v>
      </c>
      <c r="B5" s="3" t="s">
        <v>12</v>
      </c>
      <c r="C5" s="3" t="s">
        <v>37</v>
      </c>
      <c r="D5" s="3" t="s">
        <v>38</v>
      </c>
      <c r="E5" s="3" t="s">
        <v>15</v>
      </c>
      <c r="F5" s="3" t="s">
        <v>39</v>
      </c>
      <c r="G5" s="3" t="s">
        <v>17</v>
      </c>
      <c r="H5" s="3" t="s">
        <v>40</v>
      </c>
      <c r="I5" s="3">
        <v>4000.0</v>
      </c>
      <c r="J5" s="3" t="s">
        <v>19</v>
      </c>
    </row>
    <row r="6">
      <c r="A6" s="3" t="s">
        <v>41</v>
      </c>
      <c r="B6" s="3" t="s">
        <v>42</v>
      </c>
      <c r="C6" s="3" t="s">
        <v>22</v>
      </c>
      <c r="D6" s="3" t="s">
        <v>14</v>
      </c>
      <c r="E6" s="3" t="s">
        <v>33</v>
      </c>
      <c r="F6" s="3" t="s">
        <v>25</v>
      </c>
      <c r="G6" s="3" t="s">
        <v>17</v>
      </c>
      <c r="H6" s="3" t="s">
        <v>43</v>
      </c>
      <c r="I6" s="3">
        <v>1500.0</v>
      </c>
      <c r="J6" s="3" t="s">
        <v>36</v>
      </c>
    </row>
    <row r="7">
      <c r="A7" s="3" t="s">
        <v>20</v>
      </c>
      <c r="B7" s="3" t="s">
        <v>21</v>
      </c>
      <c r="C7" s="3" t="s">
        <v>13</v>
      </c>
      <c r="D7" s="3" t="s">
        <v>14</v>
      </c>
      <c r="E7" s="3" t="s">
        <v>44</v>
      </c>
      <c r="F7" s="3" t="s">
        <v>16</v>
      </c>
      <c r="G7" s="3" t="s">
        <v>26</v>
      </c>
      <c r="H7" s="3" t="s">
        <v>43</v>
      </c>
      <c r="I7" s="3">
        <v>2500.0</v>
      </c>
      <c r="J7" s="3" t="s">
        <v>19</v>
      </c>
    </row>
    <row r="8">
      <c r="A8" s="3" t="s">
        <v>11</v>
      </c>
      <c r="B8" s="3" t="s">
        <v>12</v>
      </c>
      <c r="C8" s="3" t="s">
        <v>22</v>
      </c>
      <c r="D8" s="3" t="s">
        <v>23</v>
      </c>
      <c r="E8" s="3" t="s">
        <v>15</v>
      </c>
      <c r="F8" s="3" t="s">
        <v>34</v>
      </c>
      <c r="G8" s="3" t="s">
        <v>17</v>
      </c>
      <c r="H8" s="3" t="s">
        <v>18</v>
      </c>
      <c r="I8" s="3">
        <v>3000.0</v>
      </c>
      <c r="J8" s="3" t="s">
        <v>28</v>
      </c>
    </row>
    <row r="9">
      <c r="A9" s="3" t="s">
        <v>29</v>
      </c>
      <c r="B9" s="3" t="s">
        <v>30</v>
      </c>
      <c r="C9" s="3" t="s">
        <v>13</v>
      </c>
      <c r="D9" s="3" t="s">
        <v>32</v>
      </c>
      <c r="E9" s="3" t="s">
        <v>24</v>
      </c>
      <c r="F9" s="3" t="s">
        <v>25</v>
      </c>
      <c r="G9" s="3" t="s">
        <v>35</v>
      </c>
      <c r="H9" s="3" t="s">
        <v>27</v>
      </c>
      <c r="I9" s="3">
        <v>1200.0</v>
      </c>
      <c r="J9" s="3" t="s">
        <v>36</v>
      </c>
    </row>
    <row r="10">
      <c r="A10" s="3" t="s">
        <v>20</v>
      </c>
      <c r="B10" s="3" t="s">
        <v>21</v>
      </c>
      <c r="C10" s="3" t="s">
        <v>37</v>
      </c>
      <c r="D10" s="3" t="s">
        <v>14</v>
      </c>
      <c r="E10" s="3" t="s">
        <v>33</v>
      </c>
      <c r="F10" s="3" t="s">
        <v>16</v>
      </c>
      <c r="G10" s="3" t="s">
        <v>17</v>
      </c>
      <c r="H10" s="3" t="s">
        <v>40</v>
      </c>
      <c r="I10" s="3">
        <v>2800.0</v>
      </c>
      <c r="J10" s="3" t="s">
        <v>19</v>
      </c>
    </row>
    <row r="11">
      <c r="A11" s="3" t="s">
        <v>11</v>
      </c>
      <c r="B11" s="3" t="s">
        <v>12</v>
      </c>
      <c r="C11" s="3" t="s">
        <v>31</v>
      </c>
      <c r="D11" s="3" t="s">
        <v>38</v>
      </c>
      <c r="E11" s="3" t="s">
        <v>15</v>
      </c>
      <c r="F11" s="3" t="s">
        <v>39</v>
      </c>
      <c r="G11" s="3" t="s">
        <v>17</v>
      </c>
      <c r="H11" s="3" t="s">
        <v>43</v>
      </c>
      <c r="I11" s="3">
        <v>4500.0</v>
      </c>
      <c r="J11" s="3" t="s">
        <v>19</v>
      </c>
    </row>
    <row r="12">
      <c r="A12" s="3" t="s">
        <v>29</v>
      </c>
      <c r="B12" s="3" t="s">
        <v>30</v>
      </c>
      <c r="C12" s="3" t="s">
        <v>22</v>
      </c>
      <c r="D12" s="3" t="s">
        <v>14</v>
      </c>
      <c r="E12" s="3" t="s">
        <v>33</v>
      </c>
      <c r="F12" s="3" t="s">
        <v>34</v>
      </c>
      <c r="G12" s="3" t="s">
        <v>35</v>
      </c>
      <c r="H12" s="3" t="s">
        <v>27</v>
      </c>
      <c r="I12" s="3">
        <v>2000.0</v>
      </c>
      <c r="J12" s="3" t="s">
        <v>36</v>
      </c>
    </row>
    <row r="13">
      <c r="A13" s="3" t="s">
        <v>41</v>
      </c>
      <c r="B13" s="3" t="s">
        <v>42</v>
      </c>
      <c r="C13" s="3" t="s">
        <v>13</v>
      </c>
      <c r="D13" s="3" t="s">
        <v>32</v>
      </c>
      <c r="E13" s="3" t="s">
        <v>24</v>
      </c>
      <c r="F13" s="3" t="s">
        <v>25</v>
      </c>
      <c r="G13" s="3" t="s">
        <v>26</v>
      </c>
      <c r="H13" s="3" t="s">
        <v>18</v>
      </c>
      <c r="I13" s="3">
        <v>1000.0</v>
      </c>
      <c r="J13" s="3" t="s">
        <v>36</v>
      </c>
    </row>
    <row r="14">
      <c r="A14" s="3" t="s">
        <v>11</v>
      </c>
      <c r="B14" s="3" t="s">
        <v>12</v>
      </c>
      <c r="C14" s="3" t="s">
        <v>13</v>
      </c>
      <c r="D14" s="3" t="s">
        <v>23</v>
      </c>
      <c r="E14" s="3" t="s">
        <v>44</v>
      </c>
      <c r="F14" s="3" t="s">
        <v>16</v>
      </c>
      <c r="G14" s="3" t="s">
        <v>17</v>
      </c>
      <c r="H14" s="3" t="s">
        <v>40</v>
      </c>
      <c r="I14" s="3">
        <v>3500.0</v>
      </c>
      <c r="J14" s="3" t="s">
        <v>19</v>
      </c>
    </row>
    <row r="15">
      <c r="A15" s="3" t="s">
        <v>20</v>
      </c>
      <c r="B15" s="3" t="s">
        <v>21</v>
      </c>
      <c r="C15" s="3" t="s">
        <v>22</v>
      </c>
      <c r="D15" s="3" t="s">
        <v>14</v>
      </c>
      <c r="E15" s="3" t="s">
        <v>15</v>
      </c>
      <c r="F15" s="3" t="s">
        <v>34</v>
      </c>
      <c r="G15" s="3" t="s">
        <v>35</v>
      </c>
      <c r="H15" s="3" t="s">
        <v>27</v>
      </c>
      <c r="I15" s="3">
        <v>2200.0</v>
      </c>
      <c r="J15" s="3" t="s">
        <v>28</v>
      </c>
    </row>
    <row r="16">
      <c r="A16" s="3" t="s">
        <v>29</v>
      </c>
      <c r="B16" s="3" t="s">
        <v>30</v>
      </c>
      <c r="C16" s="3" t="s">
        <v>31</v>
      </c>
      <c r="D16" s="3" t="s">
        <v>38</v>
      </c>
      <c r="E16" s="3" t="s">
        <v>15</v>
      </c>
      <c r="F16" s="3" t="s">
        <v>39</v>
      </c>
      <c r="G16" s="3" t="s">
        <v>17</v>
      </c>
      <c r="H16" s="3" t="s">
        <v>43</v>
      </c>
      <c r="I16" s="3">
        <v>4000.0</v>
      </c>
      <c r="J16" s="3" t="s">
        <v>19</v>
      </c>
    </row>
    <row r="17">
      <c r="A17" s="3" t="s">
        <v>11</v>
      </c>
      <c r="B17" s="3" t="s">
        <v>12</v>
      </c>
      <c r="C17" s="3" t="s">
        <v>37</v>
      </c>
      <c r="D17" s="3" t="s">
        <v>14</v>
      </c>
      <c r="E17" s="3" t="s">
        <v>33</v>
      </c>
      <c r="F17" s="3" t="s">
        <v>25</v>
      </c>
      <c r="G17" s="3" t="s">
        <v>26</v>
      </c>
      <c r="H17" s="3" t="s">
        <v>27</v>
      </c>
      <c r="I17" s="3">
        <v>2500.0</v>
      </c>
      <c r="J17" s="3" t="s">
        <v>28</v>
      </c>
    </row>
    <row r="18">
      <c r="A18" s="3" t="s">
        <v>41</v>
      </c>
      <c r="B18" s="3" t="s">
        <v>42</v>
      </c>
      <c r="C18" s="3" t="s">
        <v>22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27</v>
      </c>
      <c r="I18" s="3">
        <v>1200.0</v>
      </c>
      <c r="J18" s="3" t="s">
        <v>36</v>
      </c>
    </row>
    <row r="19">
      <c r="A19" s="3" t="s">
        <v>20</v>
      </c>
      <c r="B19" s="3" t="s">
        <v>21</v>
      </c>
      <c r="C19" s="3" t="s">
        <v>13</v>
      </c>
      <c r="D19" s="3" t="s">
        <v>23</v>
      </c>
      <c r="E19" s="3" t="s">
        <v>24</v>
      </c>
      <c r="F19" s="3" t="s">
        <v>16</v>
      </c>
      <c r="G19" s="3" t="s">
        <v>17</v>
      </c>
      <c r="H19" s="3" t="s">
        <v>18</v>
      </c>
      <c r="I19" s="3">
        <v>3200.0</v>
      </c>
      <c r="J19" s="3" t="s">
        <v>19</v>
      </c>
    </row>
    <row r="20">
      <c r="A20" s="3" t="s">
        <v>29</v>
      </c>
      <c r="B20" s="3" t="s">
        <v>30</v>
      </c>
      <c r="C20" s="3" t="s">
        <v>22</v>
      </c>
      <c r="D20" s="3" t="s">
        <v>14</v>
      </c>
      <c r="E20" s="3" t="s">
        <v>15</v>
      </c>
      <c r="F20" s="3" t="s">
        <v>34</v>
      </c>
      <c r="G20" s="3" t="s">
        <v>26</v>
      </c>
      <c r="H20" s="3" t="s">
        <v>43</v>
      </c>
      <c r="I20" s="3">
        <v>2800.0</v>
      </c>
      <c r="J20" s="3" t="s">
        <v>28</v>
      </c>
    </row>
    <row r="21">
      <c r="A21" s="3" t="s">
        <v>11</v>
      </c>
      <c r="B21" s="3" t="s">
        <v>12</v>
      </c>
      <c r="C21" s="3" t="s">
        <v>13</v>
      </c>
      <c r="D21" s="3" t="s">
        <v>38</v>
      </c>
      <c r="E21" s="3" t="s">
        <v>44</v>
      </c>
      <c r="F21" s="3" t="s">
        <v>39</v>
      </c>
      <c r="G21" s="3" t="s">
        <v>17</v>
      </c>
      <c r="H21" s="3" t="s">
        <v>40</v>
      </c>
      <c r="I21" s="3">
        <v>4500.0</v>
      </c>
      <c r="J21" s="3" t="s">
        <v>19</v>
      </c>
    </row>
    <row r="23">
      <c r="K23" s="4" t="s">
        <v>45</v>
      </c>
      <c r="L23" s="4" t="s">
        <v>46</v>
      </c>
      <c r="M23" s="4" t="s">
        <v>47</v>
      </c>
      <c r="N23" s="4" t="s">
        <v>48</v>
      </c>
    </row>
    <row r="24">
      <c r="K24" s="5">
        <f>COUNTIF(G:G,"Yes")</f>
        <v>10</v>
      </c>
      <c r="L24" s="5">
        <f>AVERAGE(I:I)</f>
        <v>2620</v>
      </c>
      <c r="M24" s="4" t="s">
        <v>49</v>
      </c>
      <c r="N24" s="5">
        <f>COUNTIF(J:J,"Homemade food")</f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38"/>
  </cols>
  <sheetData>
    <row r="1"/>
    <row r="2"/>
    <row r="3"/>
    <row r="4"/>
    <row r="5"/>
    <row r="6"/>
    <row r="7">
      <c r="J7" s="6" t="s">
        <v>52</v>
      </c>
    </row>
    <row r="10"/>
    <row r="11"/>
    <row r="12"/>
    <row r="13"/>
    <row r="14"/>
    <row r="15"/>
    <row r="17"/>
    <row r="18"/>
    <row r="19"/>
    <row r="20"/>
    <row r="21"/>
    <row r="22"/>
    <row r="24"/>
    <row r="25"/>
    <row r="26"/>
    <row r="27"/>
    <row r="28"/>
    <row r="29"/>
  </sheetData>
  <drawing r:id="rId5"/>
</worksheet>
</file>